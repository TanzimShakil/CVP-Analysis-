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Dell\OneDrive\Documents\"/>
    </mc:Choice>
  </mc:AlternateContent>
  <xr:revisionPtr revIDLastSave="0" documentId="8_{6664F76D-D6E2-714B-AC05-7D72655163C9}" xr6:coauthVersionLast="47" xr6:coauthVersionMax="47" xr10:uidLastSave="{00000000-0000-0000-0000-000000000000}"/>
  <bookViews>
    <workbookView xWindow="0" yWindow="0" windowWidth="23040" windowHeight="9072" xr2:uid="{00000000-000D-0000-FFFF-FFFF00000000}"/>
  </bookViews>
  <sheets>
    <sheet name="Q1" sheetId="12" r:id="rId1"/>
    <sheet name="Q2" sheetId="14" r:id="rId2"/>
    <sheet name="Q3" sheetId="15" r:id="rId3"/>
    <sheet name="Q4" sheetId="20" r:id="rId4"/>
    <sheet name="Q5" sheetId="22" r:id="rId5"/>
    <sheet name="Q6" sheetId="23" r:id="rId6"/>
    <sheet name="Q7" sheetId="24" r:id="rId7"/>
    <sheet name="Q8" sheetId="2" r:id="rId8"/>
    <sheet name="data" sheetId="1" r:id="rId9"/>
    <sheet name="data2" sheetId="11" r:id="rId10"/>
  </sheets>
  <calcPr calcId="191028"/>
  <pivotCaches>
    <pivotCache cacheId="0" r:id="rId11"/>
    <pivotCache cacheId="1" r:id="rId12"/>
    <pivotCache cacheId="2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<sst xmlns="http://schemas.openxmlformats.org/spreadsheetml/2006/main" count="125" uniqueCount="51">
  <si>
    <t>Sample Data Table for ACME Laboratories Ltd.</t>
  </si>
  <si>
    <t>Cost Item</t>
  </si>
  <si>
    <t>Amount ($)</t>
  </si>
  <si>
    <t>Type</t>
  </si>
  <si>
    <t>Rent</t>
  </si>
  <si>
    <t>Fixed Costs</t>
  </si>
  <si>
    <t>Salaries (Admin)</t>
  </si>
  <si>
    <t>Depreciation</t>
  </si>
  <si>
    <t>Utilities</t>
  </si>
  <si>
    <t>Insurance</t>
  </si>
  <si>
    <t>Raw Materials (per unit)</t>
  </si>
  <si>
    <t>Variable Costs</t>
  </si>
  <si>
    <t>Labor (per unit)</t>
  </si>
  <si>
    <t>Overhead (per unit)</t>
  </si>
  <si>
    <t>Selling Price (per unit)</t>
  </si>
  <si>
    <t>Revenue</t>
  </si>
  <si>
    <t>Estimated Sales Volume</t>
  </si>
  <si>
    <t>Sales Data</t>
  </si>
  <si>
    <t>Metric</t>
  </si>
  <si>
    <t>Value ($)</t>
  </si>
  <si>
    <t>Total Fixed Costs</t>
  </si>
  <si>
    <t>Total Variable Costs</t>
  </si>
  <si>
    <t>Total Revenue</t>
  </si>
  <si>
    <t>Total Profit</t>
  </si>
  <si>
    <t>Break-Even Point (units)</t>
  </si>
  <si>
    <t>Margin of Safety (%)</t>
  </si>
  <si>
    <t>Questions for Pivot Table Analysis in Excel</t>
  </si>
  <si>
    <t>Row Labels</t>
  </si>
  <si>
    <t>Grand Total</t>
  </si>
  <si>
    <t>Sum of Amount ($)</t>
  </si>
  <si>
    <t>1.What is the total amount for each cost item</t>
  </si>
  <si>
    <t>2.What are the total fixed costs compared to total variable costs?</t>
  </si>
  <si>
    <t>3.What is the total revenue generated from sales?</t>
  </si>
  <si>
    <t>4.What are the components of total costs (fixed and variable) in relation to total profit?</t>
  </si>
  <si>
    <t>5.What is the margin of safety expressed in percentage terms?</t>
  </si>
  <si>
    <t>6.What is the total variable cost per unit?</t>
  </si>
  <si>
    <t>7.What is the breakdown of total costs (fixed and variable) compared to total revenue?</t>
  </si>
  <si>
    <t>8.create a graph</t>
  </si>
  <si>
    <t>Raw Materials (per unit=10)</t>
  </si>
  <si>
    <t>Labor (per unit=5)</t>
  </si>
  <si>
    <t>Overhead (per unit3)</t>
  </si>
  <si>
    <t>Sales Revenue=</t>
  </si>
  <si>
    <t>total Sales Revenue=</t>
  </si>
  <si>
    <t>(blank)</t>
  </si>
  <si>
    <t>Calculate Break-Even Revenue:</t>
  </si>
  <si>
    <t>Break-Even Revenue = Break-Even Point × Selling Price</t>
  </si>
  <si>
    <t>Break-Even Revenue</t>
  </si>
  <si>
    <t>6,719×50=335,950</t>
  </si>
  <si>
    <t>Margin of Safety=(Total Revenue−Break-Even Revenue) /total revenue​×100</t>
  </si>
  <si>
    <t>=500,000500,000−335,950​×100≈32.81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</si>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</sst>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  <xf numFmtId="0" fontId="0" fillId="0" borderId="0" xfId="0" applyAlignment="1">
      <alignment horizontal="left" indent="1"/>
    </xf>
    <xf numFmtId="3" fontId="0" fillId="0" borderId="0" xfId="0" applyNumberFormat="1"/>
  </cellXfs>
  <cellStyles count="1">
    <cellStyle name="Normal" xfId="0" builtinId="0"/>
  </cellStyles>
  <dxfs count="12"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numFmt numFmtId="3" formatCode="#,##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pivotCacheDefinition" Target="pivotCache/pivotCacheDefinition3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pivotCacheDefinition" Target="pivotCache/pivotCacheDefinition2.xml" /><Relationship Id="rId2" Type="http://schemas.openxmlformats.org/officeDocument/2006/relationships/worksheet" Target="worksheets/sheet2.xml" /><Relationship Id="rId1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pivotCacheDefinition" Target="pivotCache/pivotCacheDefinition1.xml" /><Relationship Id="rId5" Type="http://schemas.openxmlformats.org/officeDocument/2006/relationships/worksheet" Target="worksheets/sheet5.xml" /><Relationship Id="rId15" Type="http://schemas.openxmlformats.org/officeDocument/2006/relationships/styles" Target="styles.xml" /><Relationship Id="rId10" Type="http://schemas.openxmlformats.org/officeDocument/2006/relationships/worksheet" Target="worksheets/sheet10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theme" Target="theme/theme1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'Q8'!$B$1</c:f>
              <c:strCache>
                <c:ptCount val="1"/>
                <c:pt idx="0">
                  <c:v>Value ($)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'Q8'!$A$2:$A$5</c:f>
              <c:strCache>
                <c:ptCount val="4"/>
                <c:pt idx="0">
                  <c:v>Total Revenue</c:v>
                </c:pt>
                <c:pt idx="1">
                  <c:v>Total Fixed Costs</c:v>
                </c:pt>
                <c:pt idx="2">
                  <c:v>Total Variable Costs</c:v>
                </c:pt>
                <c:pt idx="3">
                  <c:v>Total Profit</c:v>
                </c:pt>
              </c:strCache>
            </c:strRef>
          </c:cat>
          <c:val>
            <c:numRef>
              <c:f>'Q8'!$B$2:$B$5</c:f>
              <c:numCache>
                <c:formatCode>#,##0</c:formatCode>
                <c:ptCount val="4"/>
                <c:pt idx="0">
                  <c:v>500000</c:v>
                </c:pt>
                <c:pt idx="1">
                  <c:v>215000</c:v>
                </c:pt>
                <c:pt idx="2">
                  <c:v>180000</c:v>
                </c:pt>
                <c:pt idx="3">
                  <c:v>105000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BC-47F6-9160-0988C17576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26559128"/>
        <c:axId val="426558472"/>
      </c:barChart>
      <c:catAx>
        <c:axId val="426559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558472"/>
        <c:crosses val="autoZero"/>
        <c:auto val="1"/>
        <c:lblAlgn val="ctr"/>
        <c:lblOffset val="100"/>
        <c:noMultiLvlLbl val="0"/>
      </c:catAx>
      <c:valAx>
        <c:axId val="426558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559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525780</xdr:colOff>
      <xdr:row>3</xdr:row>
      <xdr:rowOff>300990</xdr:rowOff>
    </xdr:from>
    <xdr:to>
      <xdr:col>13</xdr:col>
      <xdr:colOff>220980</xdr:colOff>
      <xdr:row>16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 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570.099009259262" createdVersion="6" refreshedVersion="6" minRefreshableVersion="3" recordCount="10" xr:uid="{00000000-000A-0000-FFFF-FFFF00000000}">
  <cacheSource type="worksheet">
    <worksheetSource ref="A3:C13" sheet="data"/>
  </cacheSource>
  <cacheFields count="3">
    <cacheField name="Cost Item" numFmtId="0">
      <sharedItems count="10">
        <s v="Rent"/>
        <s v="Salaries (Admin)"/>
        <s v="Depreciation"/>
        <s v="Utilities"/>
        <s v="Insurance"/>
        <s v="Raw Materials (per unit)"/>
        <s v="Labor (per unit)"/>
        <s v="Overhead (per unit)"/>
        <s v="Selling Price (per unit)"/>
        <s v="Estimated Sales Volume"/>
      </sharedItems>
    </cacheField>
    <cacheField name="Amount ($)" numFmtId="0">
      <sharedItems containsSemiMixedTypes="0" containsString="0" containsNumber="1" containsInteger="1" minValue="3" maxValue="120000"/>
    </cacheField>
    <cacheField name="Type" numFmtId="0">
      <sharedItems count="4">
        <s v="Fixed Costs"/>
        <s v="Variable Costs"/>
        <s v="Revenue"/>
        <s v="Sales Dat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570.106560069442" createdVersion="6" refreshedVersion="6" minRefreshableVersion="3" recordCount="8" xr:uid="{00000000-000A-0000-FFFF-FFFF02000000}">
  <cacheSource type="worksheet">
    <worksheetSource ref="A3:C11" sheet="data"/>
  </cacheSource>
  <cacheFields count="3">
    <cacheField name="Cost Item" numFmtId="0">
      <sharedItems count="8">
        <s v="Rent"/>
        <s v="Salaries (Admin)"/>
        <s v="Depreciation"/>
        <s v="Utilities"/>
        <s v="Insurance"/>
        <s v="Raw Materials (per unit=10)"/>
        <s v="Labor (per unit=5)"/>
        <s v="Overhead (per unit3)"/>
      </sharedItems>
    </cacheField>
    <cacheField name="Amount ($)" numFmtId="0">
      <sharedItems containsSemiMixedTypes="0" containsString="0" containsNumber="1" containsInteger="1" minValue="5000" maxValue="120000"/>
    </cacheField>
    <cacheField name="Type" numFmtId="0">
      <sharedItems count="2">
        <s v="Fixed Costs"/>
        <s v="Variable Cost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570.404374189813" createdVersion="6" refreshedVersion="6" minRefreshableVersion="3" recordCount="11" xr:uid="{00000000-000A-0000-FFFF-FFFF0D000000}">
  <cacheSource type="worksheet">
    <worksheetSource ref="A3:C14" sheet="data"/>
  </cacheSource>
  <cacheFields count="3">
    <cacheField name="Cost Item" numFmtId="0">
      <sharedItems count="11">
        <s v="Rent"/>
        <s v="Salaries (Admin)"/>
        <s v="Depreciation"/>
        <s v="Utilities"/>
        <s v="Insurance"/>
        <s v="Raw Materials (per unit=10)"/>
        <s v="Labor (per unit=5)"/>
        <s v="Overhead (per unit3)"/>
        <s v="Selling Price (per unit)"/>
        <s v="Estimated Sales Volume"/>
        <s v="total Sales Revenue="/>
      </sharedItems>
    </cacheField>
    <cacheField name="Amount ($)" numFmtId="0">
      <sharedItems containsSemiMixedTypes="0" containsString="0" containsNumber="1" containsInteger="1" minValue="50" maxValue="500000"/>
    </cacheField>
    <cacheField name="Type" numFmtId="0">
      <sharedItems containsBlank="1" count="5">
        <s v="Fixed Costs"/>
        <s v="Variable Costs"/>
        <s v="Revenue"/>
        <s v="Sales Data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x v="0"/>
    <n v="50000"/>
    <x v="0"/>
  </r>
  <r>
    <x v="1"/>
    <n v="120000"/>
    <x v="0"/>
  </r>
  <r>
    <x v="2"/>
    <n v="30000"/>
    <x v="0"/>
  </r>
  <r>
    <x v="3"/>
    <n v="10000"/>
    <x v="0"/>
  </r>
  <r>
    <x v="4"/>
    <n v="5000"/>
    <x v="0"/>
  </r>
  <r>
    <x v="5"/>
    <n v="10"/>
    <x v="1"/>
  </r>
  <r>
    <x v="6"/>
    <n v="5"/>
    <x v="1"/>
  </r>
  <r>
    <x v="7"/>
    <n v="3"/>
    <x v="1"/>
  </r>
  <r>
    <x v="8"/>
    <n v="50"/>
    <x v="2"/>
  </r>
  <r>
    <x v="9"/>
    <n v="10000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8">
  <r>
    <x v="0"/>
    <n v="50000"/>
    <x v="0"/>
  </r>
  <r>
    <x v="1"/>
    <n v="120000"/>
    <x v="0"/>
  </r>
  <r>
    <x v="2"/>
    <n v="30000"/>
    <x v="0"/>
  </r>
  <r>
    <x v="3"/>
    <n v="10000"/>
    <x v="0"/>
  </r>
  <r>
    <x v="4"/>
    <n v="5000"/>
    <x v="0"/>
  </r>
  <r>
    <x v="5"/>
    <n v="100000"/>
    <x v="1"/>
  </r>
  <r>
    <x v="6"/>
    <n v="50000"/>
    <x v="1"/>
  </r>
  <r>
    <x v="7"/>
    <n v="30000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1">
  <r>
    <x v="0"/>
    <n v="50000"/>
    <x v="0"/>
  </r>
  <r>
    <x v="1"/>
    <n v="120000"/>
    <x v="0"/>
  </r>
  <r>
    <x v="2"/>
    <n v="30000"/>
    <x v="0"/>
  </r>
  <r>
    <x v="3"/>
    <n v="10000"/>
    <x v="0"/>
  </r>
  <r>
    <x v="4"/>
    <n v="5000"/>
    <x v="0"/>
  </r>
  <r>
    <x v="5"/>
    <n v="100000"/>
    <x v="1"/>
  </r>
  <r>
    <x v="6"/>
    <n v="50000"/>
    <x v="1"/>
  </r>
  <r>
    <x v="7"/>
    <n v="30000"/>
    <x v="1"/>
  </r>
  <r>
    <x v="8"/>
    <n v="50"/>
    <x v="2"/>
  </r>
  <r>
    <x v="9"/>
    <n v="10000"/>
    <x v="3"/>
  </r>
  <r>
    <x v="10"/>
    <n v="500000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 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 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 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 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0000000}" name="PivotTable8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4" firstHeaderRow="1" firstDataRow="1" firstDataCol="1"/>
  <pivotFields count="3">
    <pivotField axis="axisRow" showAll="0">
      <items count="11">
        <item x="2"/>
        <item x="9"/>
        <item x="4"/>
        <item x="6"/>
        <item x="7"/>
        <item x="5"/>
        <item x="0"/>
        <item x="1"/>
        <item x="8"/>
        <item x="3"/>
        <item t="default"/>
      </items>
    </pivotField>
    <pivotField dataField="1"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Amount ($)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1000000}" name="PivotTable10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6" firstHeaderRow="1" firstDataRow="1" firstDataCol="1"/>
  <pivotFields count="3">
    <pivotField showAll="0">
      <items count="9">
        <item x="2"/>
        <item x="4"/>
        <item x="6"/>
        <item x="7"/>
        <item x="5"/>
        <item x="0"/>
        <item x="1"/>
        <item x="3"/>
        <item t="default"/>
      </items>
    </pivotField>
    <pivotField dataField="1" showAll="0"/>
    <pivotField axis="axisRow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Amount ($)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2000000}" name="PivotTable4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20" firstHeaderRow="1" firstDataRow="1" firstDataCol="1"/>
  <pivotFields count="3">
    <pivotField axis="axisRow" showAll="0">
      <items count="12">
        <item x="2"/>
        <item x="9"/>
        <item x="4"/>
        <item x="6"/>
        <item x="7"/>
        <item x="5"/>
        <item x="0"/>
        <item x="1"/>
        <item x="8"/>
        <item x="10"/>
        <item x="3"/>
        <item t="default"/>
      </items>
    </pivotField>
    <pivotField dataField="1" showAll="0"/>
    <pivotField name="total sales revenue" axis="axisRow" showAll="0">
      <items count="6">
        <item x="0"/>
        <item x="2"/>
        <item x="3"/>
        <item x="1"/>
        <item x="4"/>
        <item t="default"/>
      </items>
    </pivotField>
  </pivotFields>
  <rowFields count="2">
    <field x="2"/>
    <field x="0"/>
  </rowFields>
  <rowItems count="17">
    <i>
      <x/>
    </i>
    <i r="1">
      <x/>
    </i>
    <i r="1">
      <x v="2"/>
    </i>
    <i r="1">
      <x v="6"/>
    </i>
    <i r="1">
      <x v="7"/>
    </i>
    <i r="1">
      <x v="10"/>
    </i>
    <i>
      <x v="1"/>
    </i>
    <i r="1">
      <x v="8"/>
    </i>
    <i>
      <x v="2"/>
    </i>
    <i r="1">
      <x v="1"/>
    </i>
    <i>
      <x v="3"/>
    </i>
    <i r="1">
      <x v="3"/>
    </i>
    <i r="1">
      <x v="4"/>
    </i>
    <i r="1">
      <x v="5"/>
    </i>
    <i>
      <x v="4"/>
    </i>
    <i r="1">
      <x v="9"/>
    </i>
    <i t="grand">
      <x/>
    </i>
  </rowItems>
  <colItems count="1">
    <i/>
  </colItems>
  <dataFields count="1">
    <dataField name="Sum of Amount ($)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3000000}" name="PivotTable6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" firstHeaderRow="1" firstDataRow="1" firstDataCol="1"/>
  <pivotFields count="3">
    <pivotField axis="axisRow" showAll="0">
      <items count="12">
        <item x="2"/>
        <item x="9"/>
        <item x="4"/>
        <item x="6"/>
        <item x="7"/>
        <item x="5"/>
        <item x="0"/>
        <item x="1"/>
        <item x="8"/>
        <item x="10"/>
        <item x="3"/>
        <item t="default"/>
      </items>
    </pivotField>
    <pivotField dataField="1" showAll="0"/>
    <pivotField axis="axisRow" showAll="0">
      <items count="6">
        <item h="1" x="0"/>
        <item h="1" x="2"/>
        <item h="1" x="3"/>
        <item x="1"/>
        <item h="1" x="4"/>
        <item t="default"/>
      </items>
    </pivotField>
  </pivotFields>
  <rowFields count="2">
    <field x="2"/>
    <field x="0"/>
  </rowFields>
  <rowItems count="5">
    <i>
      <x v="3"/>
    </i>
    <i r="1">
      <x v="3"/>
    </i>
    <i r="1">
      <x v="4"/>
    </i>
    <i r="1">
      <x v="5"/>
    </i>
    <i t="grand">
      <x/>
    </i>
  </rowItems>
  <colItems count="1">
    <i/>
  </colItems>
  <dataFields count="1">
    <dataField name="Sum of Amount ($)" fld="1" baseField="0" baseItem="0"/>
  </dataField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4000000}" name="PivotTable7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3" firstHeaderRow="1" firstDataRow="1" firstDataCol="1" rowPageCount="1" colPageCount="1"/>
  <pivotFields count="3">
    <pivotField axis="axisRow" showAll="0">
      <items count="12">
        <item x="2"/>
        <item x="9"/>
        <item x="4"/>
        <item x="6"/>
        <item x="7"/>
        <item x="5"/>
        <item x="0"/>
        <item x="1"/>
        <item x="8"/>
        <item x="10"/>
        <item x="3"/>
        <item t="default"/>
      </items>
    </pivotField>
    <pivotField dataField="1" showAll="0"/>
    <pivotField axis="axisPage" multipleItemSelectionAllowed="1" showAll="0">
      <items count="6">
        <item x="0"/>
        <item h="1" x="2"/>
        <item h="1" x="3"/>
        <item x="1"/>
        <item x="4"/>
        <item t="default"/>
      </items>
    </pivotField>
  </pivotFields>
  <rowFields count="1">
    <field x="0"/>
  </rowFields>
  <rowItems count="10">
    <i>
      <x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 t="grand">
      <x/>
    </i>
  </rowItems>
  <colItems count="1">
    <i/>
  </colItems>
  <pageFields count="1">
    <pageField fld="2" hier="-1"/>
  </pageFields>
  <dataFields count="1">
    <dataField name="Sum of Amount ($)" fld="1" baseField="0" baseItem="0"/>
  </dataField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Table5" displayName="Table5" ref="A1:B9" totalsRowShown="0" headerRowDxfId="11">
  <autoFilter ref="A1:B9" xr:uid="{00000000-0009-0000-0100-000005000000}"/>
  <tableColumns count="2">
    <tableColumn id="1" xr3:uid="{00000000-0010-0000-0000-000001000000}" name="Metric" dataDxfId="10"/>
    <tableColumn id="2" xr3:uid="{00000000-0010-0000-0000-000002000000}" name="Value ($)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1:B5" totalsRowShown="0" headerRowDxfId="9">
  <autoFilter ref="A1:B5" xr:uid="{00000000-0009-0000-0100-000001000000}"/>
  <tableColumns count="2">
    <tableColumn id="1" xr3:uid="{00000000-0010-0000-0100-000001000000}" name="Metric" dataDxfId="8"/>
    <tableColumn id="2" xr3:uid="{00000000-0010-0000-0100-000002000000}" name="Value ($)" dataDxf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le4" displayName="Table4" ref="A3:C14" totalsRowShown="0" headerRowDxfId="6" dataDxfId="5">
  <autoFilter ref="A3:C14" xr:uid="{00000000-0009-0000-0100-000004000000}"/>
  <tableColumns count="3">
    <tableColumn id="1" xr3:uid="{00000000-0010-0000-0200-000001000000}" name="Cost Item" dataDxfId="4"/>
    <tableColumn id="2" xr3:uid="{00000000-0010-0000-0200-000002000000}" name="Amount ($)" dataDxfId="3"/>
    <tableColumn id="3" xr3:uid="{00000000-0010-0000-0200-000003000000}" name="Type" dataDxfId="2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Table3" displayName="Table3" ref="A1:B9" totalsRowShown="0" headerRowDxfId="1">
  <autoFilter ref="A1:B9" xr:uid="{00000000-0009-0000-0100-000003000000}"/>
  <tableColumns count="2">
    <tableColumn id="1" xr3:uid="{00000000-0010-0000-0300-000001000000}" name="Metric" dataDxfId="0"/>
    <tableColumn id="2" xr3:uid="{00000000-0010-0000-0300-000002000000}" name="Value ($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 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 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 /><Relationship Id="rId1" Type="http://schemas.openxmlformats.org/officeDocument/2006/relationships/drawing" Target="../drawings/drawing1.xml" 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 /><Relationship Id="rId1" Type="http://schemas.openxmlformats.org/officeDocument/2006/relationships/printerSettings" Target="../printerSettings/printerSettings1.bin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14"/>
  <sheetViews>
    <sheetView tabSelected="1" workbookViewId="0">
      <selection activeCell="A3" sqref="A3"/>
    </sheetView>
  </sheetViews>
  <sheetFormatPr defaultRowHeight="15" x14ac:dyDescent="0.2"/>
  <cols>
    <col min="1" max="1" width="20.71484375" bestFit="1" customWidth="1"/>
    <col min="2" max="2" width="17.3515625" bestFit="1" customWidth="1"/>
  </cols>
  <sheetData>
    <row r="3" spans="1:2" x14ac:dyDescent="0.2">
      <c r="A3" s="9" t="s">
        <v>27</v>
      </c>
      <c r="B3" t="s">
        <v>29</v>
      </c>
    </row>
    <row r="4" spans="1:2" x14ac:dyDescent="0.2">
      <c r="A4" s="10" t="s">
        <v>7</v>
      </c>
      <c r="B4" s="11">
        <v>30000</v>
      </c>
    </row>
    <row r="5" spans="1:2" x14ac:dyDescent="0.2">
      <c r="A5" s="10" t="s">
        <v>16</v>
      </c>
      <c r="B5" s="11">
        <v>10000</v>
      </c>
    </row>
    <row r="6" spans="1:2" x14ac:dyDescent="0.2">
      <c r="A6" s="10" t="s">
        <v>9</v>
      </c>
      <c r="B6" s="11">
        <v>5000</v>
      </c>
    </row>
    <row r="7" spans="1:2" x14ac:dyDescent="0.2">
      <c r="A7" s="10" t="s">
        <v>12</v>
      </c>
      <c r="B7" s="11">
        <v>5</v>
      </c>
    </row>
    <row r="8" spans="1:2" x14ac:dyDescent="0.2">
      <c r="A8" s="10" t="s">
        <v>13</v>
      </c>
      <c r="B8" s="11">
        <v>3</v>
      </c>
    </row>
    <row r="9" spans="1:2" x14ac:dyDescent="0.2">
      <c r="A9" s="10" t="s">
        <v>10</v>
      </c>
      <c r="B9" s="11">
        <v>10</v>
      </c>
    </row>
    <row r="10" spans="1:2" x14ac:dyDescent="0.2">
      <c r="A10" s="10" t="s">
        <v>4</v>
      </c>
      <c r="B10" s="11">
        <v>50000</v>
      </c>
    </row>
    <row r="11" spans="1:2" x14ac:dyDescent="0.2">
      <c r="A11" s="10" t="s">
        <v>6</v>
      </c>
      <c r="B11" s="11">
        <v>120000</v>
      </c>
    </row>
    <row r="12" spans="1:2" x14ac:dyDescent="0.2">
      <c r="A12" s="10" t="s">
        <v>14</v>
      </c>
      <c r="B12" s="11">
        <v>50</v>
      </c>
    </row>
    <row r="13" spans="1:2" x14ac:dyDescent="0.2">
      <c r="A13" s="10" t="s">
        <v>8</v>
      </c>
      <c r="B13" s="11">
        <v>10000</v>
      </c>
    </row>
    <row r="14" spans="1:2" x14ac:dyDescent="0.2">
      <c r="A14" s="10" t="s">
        <v>28</v>
      </c>
      <c r="B14" s="11">
        <v>225068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6"/>
  <sheetViews>
    <sheetView workbookViewId="0">
      <selection activeCell="A3" sqref="A3"/>
    </sheetView>
  </sheetViews>
  <sheetFormatPr defaultRowHeight="15" x14ac:dyDescent="0.2"/>
  <cols>
    <col min="1" max="1" width="12.5078125" customWidth="1"/>
    <col min="2" max="3" width="17.3515625" bestFit="1" customWidth="1"/>
  </cols>
  <sheetData>
    <row r="3" spans="1:2" x14ac:dyDescent="0.2">
      <c r="A3" s="9" t="s">
        <v>27</v>
      </c>
      <c r="B3" t="s">
        <v>29</v>
      </c>
    </row>
    <row r="4" spans="1:2" x14ac:dyDescent="0.2">
      <c r="A4" s="10" t="s">
        <v>5</v>
      </c>
      <c r="B4" s="11">
        <v>215000</v>
      </c>
    </row>
    <row r="5" spans="1:2" x14ac:dyDescent="0.2">
      <c r="A5" s="10" t="s">
        <v>11</v>
      </c>
      <c r="B5" s="11">
        <v>180000</v>
      </c>
    </row>
    <row r="6" spans="1:2" x14ac:dyDescent="0.2">
      <c r="A6" s="10" t="s">
        <v>28</v>
      </c>
      <c r="B6" s="11">
        <v>395000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>
      <selection activeCell="A3" sqref="A3:B3"/>
    </sheetView>
  </sheetViews>
  <sheetFormatPr defaultRowHeight="15" x14ac:dyDescent="0.2"/>
  <cols>
    <col min="1" max="1" width="17.890625" customWidth="1"/>
  </cols>
  <sheetData>
    <row r="1" spans="1:3" ht="27.75" x14ac:dyDescent="0.2">
      <c r="A1" s="3" t="s">
        <v>14</v>
      </c>
      <c r="B1" s="3">
        <v>50</v>
      </c>
      <c r="C1" s="3"/>
    </row>
    <row r="2" spans="1:3" ht="27.75" x14ac:dyDescent="0.2">
      <c r="A2" s="3" t="s">
        <v>16</v>
      </c>
      <c r="B2" s="4">
        <v>10000</v>
      </c>
      <c r="C2" s="3"/>
    </row>
    <row r="3" spans="1:3" x14ac:dyDescent="0.2">
      <c r="A3" t="s">
        <v>41</v>
      </c>
      <c r="B3">
        <v>500000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B20"/>
  <sheetViews>
    <sheetView workbookViewId="0">
      <selection activeCell="B20" sqref="B20"/>
    </sheetView>
  </sheetViews>
  <sheetFormatPr defaultRowHeight="15" x14ac:dyDescent="0.2"/>
  <cols>
    <col min="1" max="1" width="27.7109375" bestFit="1" customWidth="1"/>
    <col min="2" max="2" width="17.3515625" bestFit="1" customWidth="1"/>
  </cols>
  <sheetData>
    <row r="3" spans="1:2" x14ac:dyDescent="0.2">
      <c r="A3" s="9" t="s">
        <v>27</v>
      </c>
      <c r="B3" t="s">
        <v>29</v>
      </c>
    </row>
    <row r="4" spans="1:2" x14ac:dyDescent="0.2">
      <c r="A4" s="10" t="s">
        <v>5</v>
      </c>
      <c r="B4" s="11">
        <v>215000</v>
      </c>
    </row>
    <row r="5" spans="1:2" x14ac:dyDescent="0.2">
      <c r="A5" s="13" t="s">
        <v>7</v>
      </c>
      <c r="B5" s="11">
        <v>30000</v>
      </c>
    </row>
    <row r="6" spans="1:2" x14ac:dyDescent="0.2">
      <c r="A6" s="13" t="s">
        <v>9</v>
      </c>
      <c r="B6" s="11">
        <v>5000</v>
      </c>
    </row>
    <row r="7" spans="1:2" x14ac:dyDescent="0.2">
      <c r="A7" s="13" t="s">
        <v>4</v>
      </c>
      <c r="B7" s="11">
        <v>50000</v>
      </c>
    </row>
    <row r="8" spans="1:2" x14ac:dyDescent="0.2">
      <c r="A8" s="13" t="s">
        <v>6</v>
      </c>
      <c r="B8" s="11">
        <v>120000</v>
      </c>
    </row>
    <row r="9" spans="1:2" x14ac:dyDescent="0.2">
      <c r="A9" s="13" t="s">
        <v>8</v>
      </c>
      <c r="B9" s="11">
        <v>10000</v>
      </c>
    </row>
    <row r="10" spans="1:2" x14ac:dyDescent="0.2">
      <c r="A10" s="10" t="s">
        <v>15</v>
      </c>
      <c r="B10" s="11">
        <v>50</v>
      </c>
    </row>
    <row r="11" spans="1:2" x14ac:dyDescent="0.2">
      <c r="A11" s="13" t="s">
        <v>14</v>
      </c>
      <c r="B11" s="11">
        <v>50</v>
      </c>
    </row>
    <row r="12" spans="1:2" x14ac:dyDescent="0.2">
      <c r="A12" s="10" t="s">
        <v>17</v>
      </c>
      <c r="B12" s="11">
        <v>10000</v>
      </c>
    </row>
    <row r="13" spans="1:2" x14ac:dyDescent="0.2">
      <c r="A13" s="13" t="s">
        <v>16</v>
      </c>
      <c r="B13" s="11">
        <v>10000</v>
      </c>
    </row>
    <row r="14" spans="1:2" x14ac:dyDescent="0.2">
      <c r="A14" s="10" t="s">
        <v>11</v>
      </c>
      <c r="B14" s="11">
        <v>180000</v>
      </c>
    </row>
    <row r="15" spans="1:2" x14ac:dyDescent="0.2">
      <c r="A15" s="13" t="s">
        <v>39</v>
      </c>
      <c r="B15" s="11">
        <v>50000</v>
      </c>
    </row>
    <row r="16" spans="1:2" x14ac:dyDescent="0.2">
      <c r="A16" s="13" t="s">
        <v>40</v>
      </c>
      <c r="B16" s="11">
        <v>30000</v>
      </c>
    </row>
    <row r="17" spans="1:2" x14ac:dyDescent="0.2">
      <c r="A17" s="13" t="s">
        <v>38</v>
      </c>
      <c r="B17" s="11">
        <v>100000</v>
      </c>
    </row>
    <row r="18" spans="1:2" x14ac:dyDescent="0.2">
      <c r="A18" s="10" t="s">
        <v>43</v>
      </c>
      <c r="B18" s="11">
        <v>500000</v>
      </c>
    </row>
    <row r="19" spans="1:2" x14ac:dyDescent="0.2">
      <c r="A19" s="13" t="s">
        <v>42</v>
      </c>
      <c r="B19" s="11">
        <v>500000</v>
      </c>
    </row>
    <row r="20" spans="1:2" x14ac:dyDescent="0.2">
      <c r="A20" s="10" t="s">
        <v>28</v>
      </c>
      <c r="B20" s="11">
        <v>905050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7"/>
  <sheetViews>
    <sheetView workbookViewId="0">
      <selection activeCell="B19" sqref="B19"/>
    </sheetView>
  </sheetViews>
  <sheetFormatPr defaultRowHeight="15" x14ac:dyDescent="0.2"/>
  <cols>
    <col min="1" max="1" width="19.37109375" customWidth="1"/>
    <col min="2" max="2" width="17.3515625" customWidth="1"/>
  </cols>
  <sheetData>
    <row r="1" spans="1:2" x14ac:dyDescent="0.2">
      <c r="A1" s="2" t="s">
        <v>18</v>
      </c>
      <c r="B1" s="2" t="s">
        <v>19</v>
      </c>
    </row>
    <row r="2" spans="1:2" x14ac:dyDescent="0.2">
      <c r="A2" s="3" t="s">
        <v>20</v>
      </c>
      <c r="B2" s="4">
        <v>215000</v>
      </c>
    </row>
    <row r="3" spans="1:2" x14ac:dyDescent="0.2">
      <c r="A3" s="3" t="s">
        <v>21</v>
      </c>
      <c r="B3" s="4">
        <v>180000</v>
      </c>
    </row>
    <row r="4" spans="1:2" x14ac:dyDescent="0.2">
      <c r="A4" s="3" t="s">
        <v>22</v>
      </c>
      <c r="B4" s="4">
        <v>500000</v>
      </c>
    </row>
    <row r="5" spans="1:2" x14ac:dyDescent="0.2">
      <c r="A5" s="3" t="s">
        <v>23</v>
      </c>
      <c r="B5" s="4">
        <v>105000</v>
      </c>
    </row>
    <row r="6" spans="1:2" ht="27.75" x14ac:dyDescent="0.2">
      <c r="A6" s="3" t="s">
        <v>24</v>
      </c>
      <c r="B6" s="4">
        <v>6719</v>
      </c>
    </row>
    <row r="7" spans="1:2" x14ac:dyDescent="0.2">
      <c r="A7" s="3" t="s">
        <v>25</v>
      </c>
      <c r="B7" s="5">
        <v>0.3281</v>
      </c>
    </row>
    <row r="8" spans="1:2" x14ac:dyDescent="0.2">
      <c r="A8" t="s">
        <v>46</v>
      </c>
      <c r="B8" s="14">
        <v>335950</v>
      </c>
    </row>
    <row r="10" spans="1:2" x14ac:dyDescent="0.2">
      <c r="A10" s="12" t="s">
        <v>44</v>
      </c>
    </row>
    <row r="11" spans="1:2" x14ac:dyDescent="0.2">
      <c r="A11" s="6"/>
    </row>
    <row r="12" spans="1:2" x14ac:dyDescent="0.2">
      <c r="A12" s="6" t="s">
        <v>45</v>
      </c>
    </row>
    <row r="13" spans="1:2" x14ac:dyDescent="0.2">
      <c r="A13" s="6"/>
      <c r="B13" t="s">
        <v>47</v>
      </c>
    </row>
    <row r="16" spans="1:2" x14ac:dyDescent="0.2">
      <c r="A16" t="s">
        <v>48</v>
      </c>
    </row>
    <row r="17" spans="2:2" x14ac:dyDescent="0.2">
      <c r="B17" t="s">
        <v>49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B8"/>
  <sheetViews>
    <sheetView workbookViewId="0">
      <selection activeCell="A3" sqref="A3:B9"/>
    </sheetView>
  </sheetViews>
  <sheetFormatPr defaultRowHeight="15" x14ac:dyDescent="0.2"/>
  <cols>
    <col min="1" max="1" width="27.7109375" customWidth="1"/>
    <col min="2" max="2" width="17.3515625" bestFit="1" customWidth="1"/>
  </cols>
  <sheetData>
    <row r="3" spans="1:2" x14ac:dyDescent="0.2">
      <c r="A3" s="9" t="s">
        <v>27</v>
      </c>
      <c r="B3" t="s">
        <v>29</v>
      </c>
    </row>
    <row r="4" spans="1:2" x14ac:dyDescent="0.2">
      <c r="A4" s="10" t="s">
        <v>11</v>
      </c>
      <c r="B4" s="11">
        <v>180000</v>
      </c>
    </row>
    <row r="5" spans="1:2" x14ac:dyDescent="0.2">
      <c r="A5" s="13" t="s">
        <v>39</v>
      </c>
      <c r="B5" s="11">
        <v>50000</v>
      </c>
    </row>
    <row r="6" spans="1:2" x14ac:dyDescent="0.2">
      <c r="A6" s="13" t="s">
        <v>40</v>
      </c>
      <c r="B6" s="11">
        <v>30000</v>
      </c>
    </row>
    <row r="7" spans="1:2" x14ac:dyDescent="0.2">
      <c r="A7" s="13" t="s">
        <v>38</v>
      </c>
      <c r="B7" s="11">
        <v>100000</v>
      </c>
    </row>
    <row r="8" spans="1:2" x14ac:dyDescent="0.2">
      <c r="A8" s="10" t="s">
        <v>28</v>
      </c>
      <c r="B8" s="11">
        <v>180000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3"/>
  <sheetViews>
    <sheetView workbookViewId="0">
      <selection sqref="A1:B14"/>
    </sheetView>
  </sheetViews>
  <sheetFormatPr defaultRowHeight="15" x14ac:dyDescent="0.2"/>
  <cols>
    <col min="1" max="1" width="23.80859375" bestFit="1" customWidth="1"/>
    <col min="2" max="2" width="17.3515625" bestFit="1" customWidth="1"/>
  </cols>
  <sheetData>
    <row r="1" spans="1:2" x14ac:dyDescent="0.2">
      <c r="A1" s="9" t="s">
        <v>3</v>
      </c>
      <c r="B1" t="s">
        <v>50</v>
      </c>
    </row>
    <row r="3" spans="1:2" x14ac:dyDescent="0.2">
      <c r="A3" s="9" t="s">
        <v>27</v>
      </c>
      <c r="B3" t="s">
        <v>29</v>
      </c>
    </row>
    <row r="4" spans="1:2" x14ac:dyDescent="0.2">
      <c r="A4" s="10" t="s">
        <v>7</v>
      </c>
      <c r="B4" s="11">
        <v>30000</v>
      </c>
    </row>
    <row r="5" spans="1:2" x14ac:dyDescent="0.2">
      <c r="A5" s="10" t="s">
        <v>9</v>
      </c>
      <c r="B5" s="11">
        <v>5000</v>
      </c>
    </row>
    <row r="6" spans="1:2" x14ac:dyDescent="0.2">
      <c r="A6" s="10" t="s">
        <v>39</v>
      </c>
      <c r="B6" s="11">
        <v>50000</v>
      </c>
    </row>
    <row r="7" spans="1:2" x14ac:dyDescent="0.2">
      <c r="A7" s="10" t="s">
        <v>40</v>
      </c>
      <c r="B7" s="11">
        <v>30000</v>
      </c>
    </row>
    <row r="8" spans="1:2" x14ac:dyDescent="0.2">
      <c r="A8" s="10" t="s">
        <v>38</v>
      </c>
      <c r="B8" s="11">
        <v>100000</v>
      </c>
    </row>
    <row r="9" spans="1:2" x14ac:dyDescent="0.2">
      <c r="A9" s="10" t="s">
        <v>4</v>
      </c>
      <c r="B9" s="11">
        <v>50000</v>
      </c>
    </row>
    <row r="10" spans="1:2" x14ac:dyDescent="0.2">
      <c r="A10" s="10" t="s">
        <v>6</v>
      </c>
      <c r="B10" s="11">
        <v>120000</v>
      </c>
    </row>
    <row r="11" spans="1:2" x14ac:dyDescent="0.2">
      <c r="A11" s="10" t="s">
        <v>42</v>
      </c>
      <c r="B11" s="11">
        <v>500000</v>
      </c>
    </row>
    <row r="12" spans="1:2" x14ac:dyDescent="0.2">
      <c r="A12" s="10" t="s">
        <v>8</v>
      </c>
      <c r="B12" s="11">
        <v>10000</v>
      </c>
    </row>
    <row r="13" spans="1:2" x14ac:dyDescent="0.2">
      <c r="A13" s="10" t="s">
        <v>28</v>
      </c>
      <c r="B13" s="11">
        <v>895000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5"/>
  <sheetViews>
    <sheetView workbookViewId="0">
      <selection activeCell="E3" sqref="E3"/>
    </sheetView>
  </sheetViews>
  <sheetFormatPr defaultRowHeight="15" x14ac:dyDescent="0.2"/>
  <cols>
    <col min="1" max="1" width="18.16015625" customWidth="1"/>
    <col min="2" max="2" width="19.37109375" customWidth="1"/>
  </cols>
  <sheetData>
    <row r="1" spans="1:2" x14ac:dyDescent="0.2">
      <c r="A1" s="2" t="s">
        <v>18</v>
      </c>
      <c r="B1" s="2" t="s">
        <v>19</v>
      </c>
    </row>
    <row r="2" spans="1:2" x14ac:dyDescent="0.2">
      <c r="A2" s="3" t="s">
        <v>22</v>
      </c>
      <c r="B2" s="4">
        <v>500000</v>
      </c>
    </row>
    <row r="3" spans="1:2" x14ac:dyDescent="0.2">
      <c r="A3" s="3" t="s">
        <v>20</v>
      </c>
      <c r="B3" s="4">
        <v>215000</v>
      </c>
    </row>
    <row r="4" spans="1:2" x14ac:dyDescent="0.2">
      <c r="A4" s="3" t="s">
        <v>21</v>
      </c>
      <c r="B4" s="4">
        <v>180000</v>
      </c>
    </row>
    <row r="5" spans="1:2" x14ac:dyDescent="0.2">
      <c r="A5" s="3" t="s">
        <v>23</v>
      </c>
      <c r="B5" s="4">
        <v>105000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61"/>
  <sheetViews>
    <sheetView topLeftCell="A12" workbookViewId="0">
      <selection activeCell="B4" sqref="B4"/>
    </sheetView>
  </sheetViews>
  <sheetFormatPr defaultRowHeight="15" x14ac:dyDescent="0.2"/>
  <cols>
    <col min="1" max="1" width="24.48046875" customWidth="1"/>
    <col min="2" max="2" width="20.71484375" customWidth="1"/>
    <col min="3" max="3" width="22.734375" customWidth="1"/>
  </cols>
  <sheetData>
    <row r="1" spans="1:3" ht="18" x14ac:dyDescent="0.2">
      <c r="A1" s="1" t="s">
        <v>0</v>
      </c>
    </row>
    <row r="3" spans="1:3" x14ac:dyDescent="0.2">
      <c r="A3" s="2" t="s">
        <v>1</v>
      </c>
      <c r="B3" s="2" t="s">
        <v>2</v>
      </c>
      <c r="C3" s="2" t="s">
        <v>3</v>
      </c>
    </row>
    <row r="4" spans="1:3" x14ac:dyDescent="0.2">
      <c r="A4" s="3" t="s">
        <v>4</v>
      </c>
      <c r="B4" s="4">
        <v>50000</v>
      </c>
      <c r="C4" s="3" t="s">
        <v>5</v>
      </c>
    </row>
    <row r="5" spans="1:3" x14ac:dyDescent="0.2">
      <c r="A5" s="3" t="s">
        <v>6</v>
      </c>
      <c r="B5" s="4">
        <v>120000</v>
      </c>
      <c r="C5" s="3" t="s">
        <v>5</v>
      </c>
    </row>
    <row r="6" spans="1:3" x14ac:dyDescent="0.2">
      <c r="A6" s="3" t="s">
        <v>7</v>
      </c>
      <c r="B6" s="4">
        <v>30000</v>
      </c>
      <c r="C6" s="3" t="s">
        <v>5</v>
      </c>
    </row>
    <row r="7" spans="1:3" x14ac:dyDescent="0.2">
      <c r="A7" s="3" t="s">
        <v>8</v>
      </c>
      <c r="B7" s="4">
        <v>10000</v>
      </c>
      <c r="C7" s="3" t="s">
        <v>5</v>
      </c>
    </row>
    <row r="8" spans="1:3" x14ac:dyDescent="0.2">
      <c r="A8" s="3" t="s">
        <v>9</v>
      </c>
      <c r="B8" s="4">
        <v>5000</v>
      </c>
      <c r="C8" s="3" t="s">
        <v>5</v>
      </c>
    </row>
    <row r="9" spans="1:3" x14ac:dyDescent="0.2">
      <c r="A9" s="3" t="s">
        <v>38</v>
      </c>
      <c r="B9" s="3">
        <v>100000</v>
      </c>
      <c r="C9" s="3" t="s">
        <v>11</v>
      </c>
    </row>
    <row r="10" spans="1:3" x14ac:dyDescent="0.2">
      <c r="A10" s="3" t="s">
        <v>39</v>
      </c>
      <c r="B10" s="3">
        <v>50000</v>
      </c>
      <c r="C10" s="3" t="s">
        <v>11</v>
      </c>
    </row>
    <row r="11" spans="1:3" x14ac:dyDescent="0.2">
      <c r="A11" s="3" t="s">
        <v>40</v>
      </c>
      <c r="B11" s="3">
        <v>30000</v>
      </c>
      <c r="C11" s="3" t="s">
        <v>11</v>
      </c>
    </row>
    <row r="12" spans="1:3" x14ac:dyDescent="0.2">
      <c r="A12" s="3" t="s">
        <v>14</v>
      </c>
      <c r="B12" s="3">
        <v>50</v>
      </c>
      <c r="C12" s="3" t="s">
        <v>15</v>
      </c>
    </row>
    <row r="13" spans="1:3" x14ac:dyDescent="0.2">
      <c r="A13" s="3" t="s">
        <v>16</v>
      </c>
      <c r="B13" s="4">
        <v>10000</v>
      </c>
      <c r="C13" s="3" t="s">
        <v>17</v>
      </c>
    </row>
    <row r="14" spans="1:3" x14ac:dyDescent="0.2">
      <c r="A14" t="s">
        <v>42</v>
      </c>
      <c r="B14">
        <v>500000</v>
      </c>
      <c r="C14" s="3" t="s">
        <v>15</v>
      </c>
    </row>
    <row r="15" spans="1:3" ht="18" x14ac:dyDescent="0.2">
      <c r="A15" s="1"/>
    </row>
    <row r="16" spans="1:3" ht="18" x14ac:dyDescent="0.2">
      <c r="A16" s="1" t="s">
        <v>26</v>
      </c>
    </row>
    <row r="17" spans="1:4" x14ac:dyDescent="0.2">
      <c r="A17" s="6"/>
    </row>
    <row r="18" spans="1:4" x14ac:dyDescent="0.2">
      <c r="A18" s="12" t="s">
        <v>30</v>
      </c>
      <c r="B18" s="12"/>
      <c r="C18" s="12"/>
      <c r="D18" s="12"/>
    </row>
    <row r="19" spans="1:4" x14ac:dyDescent="0.2">
      <c r="A19" s="12" t="s">
        <v>31</v>
      </c>
      <c r="B19" s="12"/>
      <c r="C19" s="12"/>
      <c r="D19" s="12"/>
    </row>
    <row r="20" spans="1:4" x14ac:dyDescent="0.2">
      <c r="A20" s="12" t="s">
        <v>32</v>
      </c>
      <c r="B20" s="12"/>
      <c r="C20" s="12"/>
      <c r="D20" s="12"/>
    </row>
    <row r="21" spans="1:4" x14ac:dyDescent="0.2">
      <c r="A21" s="12" t="s">
        <v>33</v>
      </c>
      <c r="B21" s="12"/>
      <c r="C21" s="12"/>
      <c r="D21" s="12"/>
    </row>
    <row r="22" spans="1:4" x14ac:dyDescent="0.2">
      <c r="A22" s="12" t="s">
        <v>34</v>
      </c>
      <c r="B22" s="12"/>
      <c r="C22" s="12"/>
      <c r="D22" s="12"/>
    </row>
    <row r="23" spans="1:4" x14ac:dyDescent="0.2">
      <c r="A23" s="12" t="s">
        <v>35</v>
      </c>
      <c r="B23" s="12"/>
      <c r="C23" s="12"/>
      <c r="D23" s="12"/>
    </row>
    <row r="24" spans="1:4" x14ac:dyDescent="0.2">
      <c r="A24" s="12" t="s">
        <v>36</v>
      </c>
      <c r="B24" s="12"/>
      <c r="C24" s="12"/>
      <c r="D24" s="12"/>
    </row>
    <row r="25" spans="1:4" x14ac:dyDescent="0.2">
      <c r="A25" s="7" t="s">
        <v>37</v>
      </c>
    </row>
    <row r="26" spans="1:4" ht="18" x14ac:dyDescent="0.2">
      <c r="A26" s="1"/>
    </row>
    <row r="27" spans="1:4" x14ac:dyDescent="0.2">
      <c r="A27" s="6"/>
    </row>
    <row r="28" spans="1:4" x14ac:dyDescent="0.2">
      <c r="A28" s="7"/>
    </row>
    <row r="29" spans="1:4" x14ac:dyDescent="0.2">
      <c r="A29" s="7"/>
    </row>
    <row r="30" spans="1:4" x14ac:dyDescent="0.2">
      <c r="A30" s="7"/>
    </row>
    <row r="31" spans="1:4" x14ac:dyDescent="0.2">
      <c r="A31" s="7"/>
    </row>
    <row r="32" spans="1:4" x14ac:dyDescent="0.2">
      <c r="A32" s="7"/>
    </row>
    <row r="33" spans="1:1" x14ac:dyDescent="0.2">
      <c r="A33" s="7"/>
    </row>
    <row r="34" spans="1:1" x14ac:dyDescent="0.2">
      <c r="A34" s="7"/>
    </row>
    <row r="35" spans="1:1" x14ac:dyDescent="0.2">
      <c r="A35" s="6"/>
    </row>
    <row r="36" spans="1:1" x14ac:dyDescent="0.2">
      <c r="A36" s="8"/>
    </row>
    <row r="37" spans="1:1" x14ac:dyDescent="0.2">
      <c r="A37" s="6"/>
    </row>
    <row r="38" spans="1:1" x14ac:dyDescent="0.2">
      <c r="A38" s="7"/>
    </row>
    <row r="39" spans="1:1" x14ac:dyDescent="0.2">
      <c r="A39" s="6"/>
    </row>
    <row r="40" spans="1:1" x14ac:dyDescent="0.2">
      <c r="A40" s="6"/>
    </row>
    <row r="41" spans="1:1" x14ac:dyDescent="0.2">
      <c r="A41" s="8"/>
    </row>
    <row r="42" spans="1:1" x14ac:dyDescent="0.2">
      <c r="A42" s="6"/>
    </row>
    <row r="43" spans="1:1" x14ac:dyDescent="0.2">
      <c r="A43" s="7"/>
    </row>
    <row r="44" spans="1:1" x14ac:dyDescent="0.2">
      <c r="A44" s="6"/>
    </row>
    <row r="45" spans="1:1" x14ac:dyDescent="0.2">
      <c r="A45" s="6"/>
    </row>
    <row r="46" spans="1:1" x14ac:dyDescent="0.2">
      <c r="A46" s="8"/>
    </row>
    <row r="47" spans="1:1" x14ac:dyDescent="0.2">
      <c r="A47" s="6"/>
    </row>
    <row r="48" spans="1:1" x14ac:dyDescent="0.2">
      <c r="A48" s="7"/>
    </row>
    <row r="49" spans="1:1" x14ac:dyDescent="0.2">
      <c r="A49" s="6"/>
    </row>
    <row r="50" spans="1:1" x14ac:dyDescent="0.2">
      <c r="A50" s="6"/>
    </row>
    <row r="51" spans="1:1" x14ac:dyDescent="0.2">
      <c r="A51" s="8"/>
    </row>
    <row r="52" spans="1:1" x14ac:dyDescent="0.2">
      <c r="A52" s="6"/>
    </row>
    <row r="53" spans="1:1" x14ac:dyDescent="0.2">
      <c r="A53" s="7"/>
    </row>
    <row r="54" spans="1:1" x14ac:dyDescent="0.2">
      <c r="A54" s="6"/>
    </row>
    <row r="55" spans="1:1" x14ac:dyDescent="0.2">
      <c r="A55" s="6"/>
    </row>
    <row r="56" spans="1:1" x14ac:dyDescent="0.2">
      <c r="A56" s="8"/>
    </row>
    <row r="57" spans="1:1" x14ac:dyDescent="0.2">
      <c r="A57" s="6"/>
    </row>
    <row r="58" spans="1:1" x14ac:dyDescent="0.2">
      <c r="A58" s="7"/>
    </row>
    <row r="59" spans="1:1" x14ac:dyDescent="0.2">
      <c r="A59" s="6"/>
    </row>
    <row r="60" spans="1:1" x14ac:dyDescent="0.2">
      <c r="A60" s="6"/>
    </row>
    <row r="61" spans="1:1" x14ac:dyDescent="0.2">
      <c r="A61" s="8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3"/>
  <sheetViews>
    <sheetView workbookViewId="0">
      <selection sqref="A1:B9"/>
    </sheetView>
  </sheetViews>
  <sheetFormatPr defaultRowHeight="15" x14ac:dyDescent="0.2"/>
  <cols>
    <col min="1" max="1" width="24.078125" customWidth="1"/>
    <col min="2" max="2" width="21.1171875" customWidth="1"/>
  </cols>
  <sheetData>
    <row r="1" spans="1:2" x14ac:dyDescent="0.2">
      <c r="A1" s="2" t="s">
        <v>18</v>
      </c>
      <c r="B1" s="2" t="s">
        <v>19</v>
      </c>
    </row>
    <row r="2" spans="1:2" x14ac:dyDescent="0.2">
      <c r="A2" s="3" t="s">
        <v>20</v>
      </c>
      <c r="B2" s="4">
        <v>215000</v>
      </c>
    </row>
    <row r="3" spans="1:2" x14ac:dyDescent="0.2">
      <c r="A3" s="3" t="s">
        <v>21</v>
      </c>
      <c r="B3" s="4">
        <v>180000</v>
      </c>
    </row>
    <row r="4" spans="1:2" x14ac:dyDescent="0.2">
      <c r="A4" s="3" t="s">
        <v>22</v>
      </c>
      <c r="B4" s="4">
        <v>500000</v>
      </c>
    </row>
    <row r="5" spans="1:2" x14ac:dyDescent="0.2">
      <c r="A5" s="3" t="s">
        <v>23</v>
      </c>
      <c r="B5" s="4">
        <v>105000</v>
      </c>
    </row>
    <row r="6" spans="1:2" x14ac:dyDescent="0.2">
      <c r="A6" s="3" t="s">
        <v>24</v>
      </c>
      <c r="B6" s="4">
        <v>6719</v>
      </c>
    </row>
    <row r="7" spans="1:2" x14ac:dyDescent="0.2">
      <c r="A7" s="3" t="s">
        <v>25</v>
      </c>
      <c r="B7" s="5">
        <v>0.3281</v>
      </c>
    </row>
    <row r="8" spans="1:2" x14ac:dyDescent="0.2">
      <c r="A8" t="s">
        <v>46</v>
      </c>
      <c r="B8" s="14">
        <v>335950</v>
      </c>
    </row>
    <row r="9" spans="1:2" x14ac:dyDescent="0.2">
      <c r="A9" s="4"/>
    </row>
    <row r="10" spans="1:2" x14ac:dyDescent="0.2">
      <c r="A10" s="12"/>
    </row>
    <row r="11" spans="1:2" x14ac:dyDescent="0.2">
      <c r="A11" s="6"/>
    </row>
    <row r="12" spans="1:2" x14ac:dyDescent="0.2">
      <c r="A12" s="6"/>
    </row>
    <row r="13" spans="1:2" x14ac:dyDescent="0.2">
      <c r="A13" s="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Q1</vt:lpstr>
      <vt:lpstr>Q2</vt:lpstr>
      <vt:lpstr>Q3</vt:lpstr>
      <vt:lpstr>Q4</vt:lpstr>
      <vt:lpstr>Q5</vt:lpstr>
      <vt:lpstr>Q6</vt:lpstr>
      <vt:lpstr>Q7</vt:lpstr>
      <vt:lpstr>Q8</vt:lpstr>
      <vt:lpstr>data</vt:lpstr>
      <vt:lpstr>data2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2024-10-04T19:44:41Z</dcterms:created>
  <dcterms:modified xsi:type="dcterms:W3CDTF">2024-10-05T04:13:37Z</dcterms:modified>
</cp:coreProperties>
</file>